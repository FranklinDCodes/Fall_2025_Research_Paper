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ane\OneDrive\Desktop\Research\Fall_2025_Research_Paper\"/>
    </mc:Choice>
  </mc:AlternateContent>
  <xr:revisionPtr revIDLastSave="0" documentId="13_ncr:1_{51DEE9E5-1C4C-4802-9E9C-AFC11A4E15CA}" xr6:coauthVersionLast="47" xr6:coauthVersionMax="47" xr10:uidLastSave="{00000000-0000-0000-0000-000000000000}"/>
  <bookViews>
    <workbookView xWindow="-110" yWindow="-110" windowWidth="19420" windowHeight="10300" xr2:uid="{943E5C32-9CE4-48B7-91D9-F485578DBF41}"/>
  </bookViews>
  <sheets>
    <sheet name="TimeSweep" sheetId="2" r:id="rId1"/>
    <sheet name="SeedSweep" sheetId="1" r:id="rId2"/>
  </sheets>
  <definedNames>
    <definedName name="_xlchart.v1.0" hidden="1">TimeSweep!$I$12</definedName>
    <definedName name="_xlchart.v1.1" hidden="1">TimeSweep!$I$13:$I$20</definedName>
    <definedName name="_xlchart.v1.10" hidden="1">TimeSweep!$F$12</definedName>
    <definedName name="_xlchart.v1.11" hidden="1">TimeSweep!$F$13:$F$20</definedName>
    <definedName name="_xlchart.v1.12" hidden="1">TimeSweep!$L$12</definedName>
    <definedName name="_xlchart.v1.13" hidden="1">TimeSweep!$L$13:$L$20</definedName>
    <definedName name="_xlchart.v1.14" hidden="1">TimeSweep!$M$12</definedName>
    <definedName name="_xlchart.v1.15" hidden="1">TimeSweep!$M$13:$M$20</definedName>
    <definedName name="_xlchart.v1.16" hidden="1">TimeSweep!$B$23</definedName>
    <definedName name="_xlchart.v1.17" hidden="1">TimeSweep!$B$24:$B$31</definedName>
    <definedName name="_xlchart.v1.18" hidden="1">TimeSweep!$C$23</definedName>
    <definedName name="_xlchart.v1.19" hidden="1">TimeSweep!$C$24:$C$31</definedName>
    <definedName name="_xlchart.v1.2" hidden="1">TimeSweep!$J$12</definedName>
    <definedName name="_xlchart.v1.20" hidden="1">SeedSweep!$E$12</definedName>
    <definedName name="_xlchart.v1.21" hidden="1">SeedSweep!$E$13:$E$20</definedName>
    <definedName name="_xlchart.v1.22" hidden="1">SeedSweep!$F$12</definedName>
    <definedName name="_xlchart.v1.23" hidden="1">SeedSweep!$F$13:$F$20</definedName>
    <definedName name="_xlchart.v1.24" hidden="1">SeedSweep!$B$22</definedName>
    <definedName name="_xlchart.v1.25" hidden="1">SeedSweep!$B$23:$B$30</definedName>
    <definedName name="_xlchart.v1.26" hidden="1">SeedSweep!$C$22</definedName>
    <definedName name="_xlchart.v1.27" hidden="1">SeedSweep!$C$23:$C$30</definedName>
    <definedName name="_xlchart.v1.28" hidden="1">SeedSweep!$E$12</definedName>
    <definedName name="_xlchart.v1.29" hidden="1">SeedSweep!$E$13:$E$20</definedName>
    <definedName name="_xlchart.v1.3" hidden="1">TimeSweep!$J$13:$J$20</definedName>
    <definedName name="_xlchart.v1.30" hidden="1">SeedSweep!$F$12</definedName>
    <definedName name="_xlchart.v1.31" hidden="1">SeedSweep!$F$13:$F$20</definedName>
    <definedName name="_xlchart.v1.32" hidden="1">SeedSweep!$L$12</definedName>
    <definedName name="_xlchart.v1.33" hidden="1">SeedSweep!$L$13:$L$20</definedName>
    <definedName name="_xlchart.v1.34" hidden="1">SeedSweep!$M$12</definedName>
    <definedName name="_xlchart.v1.35" hidden="1">SeedSweep!$M$13:$M$20</definedName>
    <definedName name="_xlchart.v1.36" hidden="1">SeedSweep!$B$12</definedName>
    <definedName name="_xlchart.v1.37" hidden="1">SeedSweep!$B$13:$B$20</definedName>
    <definedName name="_xlchart.v1.38" hidden="1">SeedSweep!$C$12</definedName>
    <definedName name="_xlchart.v1.39" hidden="1">SeedSweep!$C$13:$C$20</definedName>
    <definedName name="_xlchart.v1.4" hidden="1">TimeSweep!$B$12</definedName>
    <definedName name="_xlchart.v1.40" hidden="1">SeedSweep!$I$12</definedName>
    <definedName name="_xlchart.v1.41" hidden="1">SeedSweep!$I$13:$I$20</definedName>
    <definedName name="_xlchart.v1.42" hidden="1">SeedSweep!$J$12</definedName>
    <definedName name="_xlchart.v1.43" hidden="1">SeedSweep!$J$13:$J$20</definedName>
    <definedName name="_xlchart.v1.5" hidden="1">TimeSweep!$B$13:$B$20</definedName>
    <definedName name="_xlchart.v1.6" hidden="1">TimeSweep!$C$12</definedName>
    <definedName name="_xlchart.v1.7" hidden="1">TimeSweep!$C$13:$C$20</definedName>
    <definedName name="_xlchart.v1.8" hidden="1">TimeSweep!$E$12</definedName>
    <definedName name="_xlchart.v1.9" hidden="1">TimeSweep!$E$13:$E$20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 a="1"/>
  <c r="E13" i="1" s="1"/>
  <c r="J31" i="1"/>
  <c r="J23" i="1"/>
  <c r="I35" i="1"/>
  <c r="I33" i="1"/>
  <c r="I34" i="1" s="1"/>
  <c r="I32" i="1"/>
  <c r="I37" i="1" s="1"/>
  <c r="I27" i="1"/>
  <c r="I26" i="1"/>
  <c r="I25" i="1"/>
  <c r="I24" i="1"/>
  <c r="I29" i="1" s="1"/>
  <c r="I35" i="2"/>
  <c r="I34" i="2"/>
  <c r="I33" i="2"/>
  <c r="I32" i="2"/>
  <c r="I29" i="2"/>
  <c r="I28" i="2"/>
  <c r="I27" i="2"/>
  <c r="I26" i="2"/>
  <c r="I25" i="2"/>
  <c r="I24" i="2"/>
  <c r="C23" i="1" a="1"/>
  <c r="C23" i="1" s="1"/>
  <c r="B23" i="1" a="1"/>
  <c r="B23" i="1" s="1"/>
  <c r="B24" i="2" a="1"/>
  <c r="B24" i="2" s="1"/>
  <c r="C24" i="2" a="1"/>
  <c r="C24" i="2" s="1"/>
  <c r="M13" i="2" a="1"/>
  <c r="M13" i="2" s="1"/>
  <c r="L13" i="2" a="1"/>
  <c r="L13" i="2" s="1"/>
  <c r="J13" i="2" a="1"/>
  <c r="J13" i="2" s="1"/>
  <c r="I13" i="2" a="1"/>
  <c r="I13" i="2" s="1"/>
  <c r="F13" i="2" a="1"/>
  <c r="F13" i="2" s="1"/>
  <c r="E13" i="2" a="1"/>
  <c r="E13" i="2" s="1"/>
  <c r="C13" i="2" a="1"/>
  <c r="C13" i="2" s="1"/>
  <c r="B13" i="2" a="1"/>
  <c r="B13" i="2" s="1"/>
  <c r="M13" i="1" a="1"/>
  <c r="M13" i="1" s="1"/>
  <c r="L13" i="1" a="1"/>
  <c r="L13" i="1" s="1"/>
  <c r="J13" i="1" a="1"/>
  <c r="J13" i="1" s="1"/>
  <c r="I13" i="1" a="1"/>
  <c r="I13" i="1" s="1"/>
  <c r="F13" i="1" a="1"/>
  <c r="F13" i="1" s="1"/>
  <c r="B13" i="1" a="1"/>
  <c r="B13" i="1" s="1"/>
  <c r="C13" i="1" a="1"/>
  <c r="C13" i="1" s="1"/>
  <c r="I28" i="1" l="1"/>
  <c r="I36" i="1"/>
  <c r="I37" i="2"/>
  <c r="I3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<sst xmlns="http://schemas.openxmlformats.org/spreadsheetml/2006/main" count="84" uniqueCount="25">
  <si>
    <t>Control</t>
  </si>
  <si>
    <t>Return</t>
  </si>
  <si>
    <t>Precision</t>
  </si>
  <si>
    <t>Positive rate</t>
  </si>
  <si>
    <t>Avg win</t>
  </si>
  <si>
    <t>Penalty</t>
  </si>
  <si>
    <t>Avg loss</t>
  </si>
  <si>
    <t>avg non-win</t>
  </si>
  <si>
    <t>Pen return stats</t>
  </si>
  <si>
    <t>avg</t>
  </si>
  <si>
    <t>std err</t>
  </si>
  <si>
    <t>std dev</t>
  </si>
  <si>
    <t>t</t>
  </si>
  <si>
    <t>Lower</t>
  </si>
  <si>
    <t>Upper</t>
  </si>
  <si>
    <t>Control return stats</t>
  </si>
  <si>
    <t>Group A is penalized</t>
  </si>
  <si>
    <t>Group B is control</t>
  </si>
  <si>
    <t>Pos</t>
  </si>
  <si>
    <t>Group A</t>
  </si>
  <si>
    <t>Group B</t>
  </si>
  <si>
    <t>ret</t>
  </si>
  <si>
    <t>Prec</t>
  </si>
  <si>
    <t>Win</t>
  </si>
  <si>
    <t>Loss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</si>
</sst>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0" fontId="0" fillId="0" borderId="0" xfId="0" applyNumberFormat="1"/>
    <xf numFmtId="10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wrapText="1"/>
    </xf>
    <xf numFmtId="9" fontId="0" fillId="0" borderId="0" xfId="1" applyFont="1"/>
    <xf numFmtId="10" fontId="2" fillId="0" borderId="1" xfId="1" applyNumberFormat="1" applyFont="1" applyBorder="1" applyAlignment="1">
      <alignment horizontal="right" wrapText="1"/>
    </xf>
    <xf numFmtId="10" fontId="2" fillId="0" borderId="1" xfId="1" applyNumberFormat="1" applyFont="1" applyBorder="1" applyAlignment="1">
      <alignment wrapText="1"/>
    </xf>
    <xf numFmtId="164" fontId="2" fillId="0" borderId="1" xfId="1" applyNumberFormat="1" applyFont="1" applyBorder="1" applyAlignment="1">
      <alignment wrapText="1"/>
    </xf>
    <xf numFmtId="165" fontId="0" fillId="0" borderId="0" xfId="1" applyNumberFormat="1" applyFont="1"/>
    <xf numFmtId="10" fontId="0" fillId="0" borderId="0" xfId="1" applyNumberFormat="1" applyFont="1"/>
    <xf numFmtId="164" fontId="0" fillId="0" borderId="0" xfId="1" applyNumberFormat="1" applyFont="1"/>
    <xf numFmtId="11" fontId="0" fillId="0" borderId="0" xfId="0" applyNumberFormat="1"/>
    <xf numFmtId="0" fontId="2" fillId="0" borderId="0" xfId="0" applyFont="1" applyAlignment="1">
      <alignment wrapText="1"/>
    </xf>
    <xf numFmtId="10" fontId="2" fillId="0" borderId="0" xfId="1" applyNumberFormat="1" applyFont="1" applyBorder="1" applyAlignment="1">
      <alignment horizontal="right" wrapText="1"/>
    </xf>
    <xf numFmtId="10" fontId="2" fillId="0" borderId="0" xfId="1" applyNumberFormat="1" applyFont="1" applyBorder="1" applyAlignment="1">
      <alignment wrapText="1"/>
    </xf>
    <xf numFmtId="2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5BB01F5C-023B-4072-8F9B-93C5EDCD6097}">
          <cx:tx>
            <cx:txData>
              <cx:f>_xlchart.v1.4</cx:f>
              <cx:v>Group A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C36CCE46-CD12-4BC8-BD7D-4A6EB3713FAB}">
          <cx:tx>
            <cx:txData>
              <cx:f>_xlchart.v1.6</cx:f>
              <cx:v>Group B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200000003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Annual Return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Annual Return</a:t>
              </a:r>
            </a:p>
          </cx:txPr>
        </cx:title>
        <cx:majorGridlines/>
        <cx:tickLabels/>
      </cx:axis>
    </cx:plotArea>
    <cx:legend pos="t" align="ctr" overlay="0"/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00000000-C9F7-4F88-930A-E8FB3A770FF8}">
          <cx:tx>
            <cx:txData>
              <cx:f>_xlchart.v1.12</cx:f>
              <cx:v>Group A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nonoutliers="0"/>
            <cx:statistics quartileMethod="exclusive"/>
          </cx:layoutPr>
        </cx:series>
        <cx:series layoutId="boxWhisker" uniqueId="{00000001-C9F7-4F88-930A-E8FB3A770FF8}">
          <cx:tx>
            <cx:txData>
              <cx:f>_xlchart.v1.14</cx:f>
              <cx:v>Group B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visibility nonoutliers="0"/>
            <cx:statistics quartileMethod="exclusive"/>
          </cx:layoutPr>
        </cx:series>
      </cx:plotAreaRegion>
      <cx:axis id="0" hidden="1">
        <cx:catScaling gapWidth="0.200000003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Average True Positive Increase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Average True Positive Increase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00000002-6117-4F5A-A348-1EA04B4631D1}">
          <cx:tx>
            <cx:txData>
              <cx:f>_xlchart.v1.0</cx:f>
              <cx:v>Group A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nonoutliers="0"/>
            <cx:statistics quartileMethod="exclusive"/>
          </cx:layoutPr>
        </cx:series>
        <cx:series layoutId="boxWhisker" uniqueId="{00000003-6117-4F5A-A348-1EA04B4631D1}">
          <cx:tx>
            <cx:txData>
              <cx:f>_xlchart.v1.2</cx:f>
              <cx:v>Group B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visibility nonoutliers="0"/>
            <cx:statistics quartileMethod="exclusive"/>
          </cx:layoutPr>
        </cx:series>
      </cx:plotAreaRegion>
      <cx:axis id="0" hidden="1">
        <cx:catScaling gapWidth="0.200000003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Positive Rate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Positive Rate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00000000-BE5D-4490-99F9-E530010EA6D8}">
          <cx:tx>
            <cx:txData>
              <cx:f>_xlchart.v1.8</cx:f>
              <cx:v>Group A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nonoutliers="0"/>
            <cx:statistics quartileMethod="exclusive"/>
          </cx:layoutPr>
        </cx:series>
        <cx:series layoutId="boxWhisker" uniqueId="{00000001-BE5D-4490-99F9-E530010EA6D8}">
          <cx:tx>
            <cx:txData>
              <cx:f>_xlchart.v1.10</cx:f>
              <cx:v>Group B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visibility nonoutliers="0"/>
            <cx:statistics quartileMethod="exclusive"/>
          </cx:layoutPr>
        </cx:series>
      </cx:plotAreaRegion>
      <cx:axis id="0" hidden="1">
        <cx:catScaling gapWidth="0.200000003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Precision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Precision</a:t>
              </a:r>
            </a:p>
          </cx:txPr>
        </cx:title>
        <cx:majorGridlines/>
        <cx:tickLabels/>
      </cx:axis>
    </cx:plotArea>
    <cx:legend pos="t" align="ctr" overlay="0"/>
  </cx:chart>
  <cx:spPr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00000000-BE5D-4490-99F9-E530010EA6D8}">
          <cx:tx>
            <cx:txData>
              <cx:f>_xlchart.v1.16</cx:f>
              <cx:v>Group A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nonoutliers="0"/>
            <cx:statistics quartileMethod="exclusive"/>
          </cx:layoutPr>
        </cx:series>
        <cx:series layoutId="boxWhisker" uniqueId="{00000001-BE5D-4490-99F9-E530010EA6D8}">
          <cx:tx>
            <cx:txData>
              <cx:f>_xlchart.v1.18</cx:f>
              <cx:v>Group B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visibility nonoutliers="0"/>
            <cx:statistics quartileMethod="exclusive"/>
          </cx:layoutPr>
        </cx:series>
      </cx:plotAreaRegion>
      <cx:axis id="0" hidden="1">
        <cx:catScaling gapWidth="0.200000003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Average False Positive Increase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Average False Positive Increase</a:t>
              </a:r>
            </a:p>
          </cx:txPr>
        </cx:title>
        <cx:majorGridlines/>
        <cx:tickLabels/>
      </cx:axis>
    </cx:plotArea>
    <cx:legend pos="t" align="ctr" overlay="0"/>
  </cx:chart>
  <cx:spPr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5BB01F5C-023B-4072-8F9B-93C5EDCD6097}">
          <cx:tx>
            <cx:txData>
              <cx:f>_xlchart.v1.36</cx:f>
              <cx:v>Group A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C36CCE46-CD12-4BC8-BD7D-4A6EB3713FAB}">
          <cx:tx>
            <cx:txData>
              <cx:f>_xlchart.v1.38</cx:f>
              <cx:v>Group B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200000003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Annual Return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Annual Return</a:t>
              </a:r>
            </a:p>
          </cx:txPr>
        </cx:title>
        <cx:majorGridlines/>
        <cx:tickLabels/>
      </cx:axis>
    </cx:plotArea>
    <cx:legend pos="t" align="ctr" overlay="0"/>
  </cx:chart>
  <cx:spPr>
    <a:ln>
      <a:noFill/>
    </a:ln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_xlchart.v1.35</cx: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00000000-C9F7-4F88-930A-E8FB3A770FF8}">
          <cx:tx>
            <cx:txData>
              <cx:f>_xlchart.v1.32</cx:f>
              <cx:v>Group A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nonoutliers="0"/>
            <cx:statistics quartileMethod="exclusive"/>
          </cx:layoutPr>
        </cx:series>
        <cx:series layoutId="boxWhisker" uniqueId="{00000001-C9F7-4F88-930A-E8FB3A770FF8}">
          <cx:tx>
            <cx:txData>
              <cx:f>_xlchart.v1.34</cx:f>
              <cx:v>Group B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visibility nonoutliers="0"/>
            <cx:statistics quartileMethod="exclusive"/>
          </cx:layoutPr>
        </cx:series>
      </cx:plotAreaRegion>
      <cx:axis id="0" hidden="1">
        <cx:catScaling gapWidth="0.200000003"/>
        <cx:title>
          <cx:tx>
            <cx:txData>
              <cx:v/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Average True Positive Increase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Average True Positive Increase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>
      <a:noFill/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00000002-6117-4F5A-A348-1EA04B4631D1}">
          <cx:tx>
            <cx:txData>
              <cx:f>_xlchart.v1.40</cx:f>
              <cx:v>Group A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nonoutliers="0"/>
            <cx:statistics quartileMethod="exclusive"/>
          </cx:layoutPr>
        </cx:series>
        <cx:series layoutId="boxWhisker" uniqueId="{00000003-6117-4F5A-A348-1EA04B4631D1}">
          <cx:tx>
            <cx:txData>
              <cx:f>_xlchart.v1.42</cx:f>
              <cx:v>Group B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visibility nonoutliers="0"/>
            <cx:statistics quartileMethod="exclusive"/>
          </cx:layoutPr>
        </cx:series>
      </cx:plotAreaRegion>
      <cx:axis id="0" hidden="1">
        <cx:catScaling gapWidth="0.200000003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Positive Rate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Positive Rate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>
      <a:noFill/>
    </a:ln>
  </cx:spPr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  <cx:data id="1">
      <cx:numDim type="val">
        <cx:f>_xlchart.v1.31</cx: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00000000-BE5D-4490-99F9-E530010EA6D8}">
          <cx:tx>
            <cx:txData>
              <cx:f>_xlchart.v1.28</cx:f>
              <cx:v>Group A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nonoutliers="0"/>
            <cx:statistics quartileMethod="exclusive"/>
          </cx:layoutPr>
        </cx:series>
        <cx:series layoutId="boxWhisker" uniqueId="{00000001-BE5D-4490-99F9-E530010EA6D8}">
          <cx:tx>
            <cx:txData>
              <cx:f>_xlchart.v1.30</cx:f>
              <cx:v>Group B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visibility nonoutliers="0"/>
            <cx:statistics quartileMethod="exclusive"/>
          </cx:layoutPr>
        </cx:series>
      </cx:plotAreaRegion>
      <cx:axis id="0" hidden="1">
        <cx:catScaling gapWidth="0.200000003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Precision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Precision</a:t>
              </a:r>
            </a:p>
          </cx:txPr>
        </cx:title>
        <cx:majorGridlines/>
        <cx:tickLabels/>
      </cx:axis>
    </cx:plotArea>
    <cx:legend pos="t" align="ctr" overlay="0"/>
  </cx:chart>
  <cx:spPr>
    <a:ln>
      <a:noFill/>
    </a:ln>
  </cx:spPr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00000000-C9F7-4F88-930A-E8FB3A770FF8}">
          <cx:tx>
            <cx:txData>
              <cx:f>_xlchart.v1.24</cx:f>
              <cx:v>Group A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nonoutliers="0"/>
            <cx:statistics quartileMethod="exclusive"/>
          </cx:layoutPr>
        </cx:series>
        <cx:series layoutId="boxWhisker" uniqueId="{00000001-C9F7-4F88-930A-E8FB3A770FF8}">
          <cx:tx>
            <cx:txData>
              <cx:f>_xlchart.v1.26</cx:f>
              <cx:v>Group B</cx:v>
            </cx:txData>
          </cx:tx>
          <cx:spPr>
            <a:ln>
              <a:solidFill>
                <a:schemeClr val="tx1"/>
              </a:solidFill>
            </a:ln>
          </cx:spPr>
          <cx:dataId val="1"/>
          <cx:layoutPr>
            <cx:visibility nonoutliers="0"/>
            <cx:statistics quartileMethod="exclusive"/>
          </cx:layoutPr>
        </cx:series>
      </cx:plotAreaRegion>
      <cx:axis id="0" hidden="1">
        <cx:catScaling gapWidth="0.200000003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Average False Positive Increase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Average False Positive Increase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8.xml"/><Relationship Id="rId2" Type="http://schemas.microsoft.com/office/2014/relationships/chartEx" Target="../charts/chartEx7.xml"/><Relationship Id="rId1" Type="http://schemas.microsoft.com/office/2014/relationships/chartEx" Target="../charts/chartEx6.xml"/><Relationship Id="rId5" Type="http://schemas.microsoft.com/office/2014/relationships/chartEx" Target="../charts/chartEx10.xml"/><Relationship Id="rId4" Type="http://schemas.microsoft.com/office/2014/relationships/chartEx" Target="../charts/chartEx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504289</xdr:colOff>
      <xdr:row>2</xdr:row>
      <xdr:rowOff>141960</xdr:rowOff>
    </xdr:from>
    <xdr:to>
      <xdr:col>21</xdr:col>
      <xdr:colOff>57975</xdr:colOff>
      <xdr:row>22</xdr:row>
      <xdr:rowOff>98417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2A34DA9-4DCF-4AF3-AE79-6B63B87D1D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0239" y="669010"/>
              <a:ext cx="3211286" cy="36902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168054</xdr:colOff>
      <xdr:row>22</xdr:row>
      <xdr:rowOff>169460</xdr:rowOff>
    </xdr:from>
    <xdr:to>
      <xdr:col>28</xdr:col>
      <xdr:colOff>329525</xdr:colOff>
      <xdr:row>43</xdr:row>
      <xdr:rowOff>17060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C4FB753-A018-4E0A-8A34-75E9F99F0B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20804" y="4430310"/>
              <a:ext cx="3209471" cy="3714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442506</xdr:colOff>
      <xdr:row>2</xdr:row>
      <xdr:rowOff>60715</xdr:rowOff>
    </xdr:from>
    <xdr:to>
      <xdr:col>28</xdr:col>
      <xdr:colOff>603977</xdr:colOff>
      <xdr:row>22</xdr:row>
      <xdr:rowOff>17172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A891EDB-887E-47FB-AD28-CE5C02E374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95256" y="587765"/>
              <a:ext cx="3209471" cy="36902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565453</xdr:colOff>
      <xdr:row>24</xdr:row>
      <xdr:rowOff>80795</xdr:rowOff>
    </xdr:from>
    <xdr:to>
      <xdr:col>21</xdr:col>
      <xdr:colOff>119139</xdr:colOff>
      <xdr:row>44</xdr:row>
      <xdr:rowOff>109822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032A8D9-A6E8-4C67-B288-E7FCE266F1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49114" y="4695884"/>
              <a:ext cx="3227614" cy="3657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261558</xdr:colOff>
      <xdr:row>2</xdr:row>
      <xdr:rowOff>98938</xdr:rowOff>
    </xdr:from>
    <xdr:to>
      <xdr:col>34</xdr:col>
      <xdr:colOff>423030</xdr:colOff>
      <xdr:row>22</xdr:row>
      <xdr:rowOff>55395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E965B43-02D4-4FDE-9B56-3ADB1CACD2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71908" y="625988"/>
              <a:ext cx="3209472" cy="36902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471725</xdr:colOff>
      <xdr:row>1</xdr:row>
      <xdr:rowOff>154679</xdr:rowOff>
    </xdr:from>
    <xdr:to>
      <xdr:col>21</xdr:col>
      <xdr:colOff>8664</xdr:colOff>
      <xdr:row>20</xdr:row>
      <xdr:rowOff>108113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B76A382-C2E4-23BB-28BD-CB31DE84FB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6675" y="345179"/>
              <a:ext cx="3194539" cy="36554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140605</xdr:colOff>
      <xdr:row>21</xdr:row>
      <xdr:rowOff>33003</xdr:rowOff>
    </xdr:from>
    <xdr:to>
      <xdr:col>27</xdr:col>
      <xdr:colOff>288120</xdr:colOff>
      <xdr:row>40</xdr:row>
      <xdr:rowOff>132975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4DBA3B2-74AA-4D5B-9741-917FDD6265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02755" y="4109703"/>
              <a:ext cx="3195515" cy="35988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149430</xdr:colOff>
      <xdr:row>1</xdr:row>
      <xdr:rowOff>53655</xdr:rowOff>
    </xdr:from>
    <xdr:to>
      <xdr:col>27</xdr:col>
      <xdr:colOff>296945</xdr:colOff>
      <xdr:row>20</xdr:row>
      <xdr:rowOff>7089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CFA88CA-7368-47F3-9E22-E0CEC6A05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11580" y="244155"/>
              <a:ext cx="3195515" cy="36554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477646</xdr:colOff>
      <xdr:row>22</xdr:row>
      <xdr:rowOff>8529</xdr:rowOff>
    </xdr:from>
    <xdr:to>
      <xdr:col>21</xdr:col>
      <xdr:colOff>14585</xdr:colOff>
      <xdr:row>41</xdr:row>
      <xdr:rowOff>108500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62D52E86-7FF8-4747-A7BC-699BB714A1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2596" y="4269379"/>
              <a:ext cx="3194539" cy="3598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490668</xdr:colOff>
      <xdr:row>1</xdr:row>
      <xdr:rowOff>195824</xdr:rowOff>
    </xdr:from>
    <xdr:to>
      <xdr:col>33</xdr:col>
      <xdr:colOff>27607</xdr:colOff>
      <xdr:row>20</xdr:row>
      <xdr:rowOff>149258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3C50BA6-F03A-49BE-A540-25188226ED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00818" y="386324"/>
              <a:ext cx="3194539" cy="36554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B8C3-996A-4E22-A48D-EA8B0338856B}">
  <dimension ref="B1:T37"/>
  <sheetViews>
    <sheetView tabSelected="1" zoomScale="53" zoomScaleNormal="100" workbookViewId="0">
      <selection activeCell="AG41" sqref="AG41"/>
    </sheetView>
  </sheetViews>
  <sheetFormatPr defaultRowHeight="14.5" x14ac:dyDescent="0.35"/>
  <cols>
    <col min="2" max="2" width="8.81640625" bestFit="1" customWidth="1"/>
    <col min="3" max="3" width="8.26953125" customWidth="1"/>
    <col min="4" max="4" width="9.08984375" bestFit="1" customWidth="1"/>
    <col min="5" max="5" width="8.90625" bestFit="1" customWidth="1"/>
    <col min="6" max="6" width="9.08984375" bestFit="1" customWidth="1"/>
    <col min="7" max="7" width="9.08984375" customWidth="1"/>
    <col min="9" max="9" width="20.08984375" bestFit="1" customWidth="1"/>
    <col min="10" max="10" width="14.6328125" bestFit="1" customWidth="1"/>
    <col min="11" max="11" width="10.81640625" bestFit="1" customWidth="1"/>
    <col min="12" max="12" width="9.81640625" bestFit="1" customWidth="1"/>
    <col min="13" max="13" width="9.7265625" bestFit="1" customWidth="1"/>
    <col min="14" max="14" width="9.7265625" customWidth="1"/>
  </cols>
  <sheetData>
    <row r="1" spans="2:14" ht="15" thickBot="1" x14ac:dyDescent="0.4"/>
    <row r="2" spans="2:14" ht="26.5" thickBot="1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/>
      <c r="I2" s="1" t="s">
        <v>5</v>
      </c>
      <c r="J2" s="1" t="s">
        <v>1</v>
      </c>
      <c r="K2" s="1" t="s">
        <v>2</v>
      </c>
      <c r="L2" s="1" t="s">
        <v>3</v>
      </c>
      <c r="M2" s="1" t="s">
        <v>4</v>
      </c>
      <c r="N2" s="15" t="s">
        <v>6</v>
      </c>
    </row>
    <row r="3" spans="2:14" ht="15" thickBot="1" x14ac:dyDescent="0.4">
      <c r="B3" s="2">
        <v>1</v>
      </c>
      <c r="C3" s="8">
        <v>1.1148</v>
      </c>
      <c r="D3" s="4">
        <v>9.0899999999999995E-2</v>
      </c>
      <c r="E3" s="5">
        <v>2.32804232804232E-4</v>
      </c>
      <c r="F3" s="4">
        <v>0.14280000000000001</v>
      </c>
      <c r="G3" s="4">
        <v>-7.0000000000000001E-3</v>
      </c>
      <c r="H3" s="1"/>
      <c r="I3" s="2">
        <v>1</v>
      </c>
      <c r="J3" s="8">
        <v>1.4767999999999999</v>
      </c>
      <c r="K3" s="8">
        <v>0.28570000000000001</v>
      </c>
      <c r="L3" s="5">
        <v>1.2962962962962901E-4</v>
      </c>
      <c r="M3" s="8">
        <v>0.10440000000000001</v>
      </c>
      <c r="N3" s="16">
        <v>-1.11E-2</v>
      </c>
    </row>
    <row r="4" spans="2:14" ht="15" thickBot="1" x14ac:dyDescent="0.4">
      <c r="B4" s="2">
        <v>2</v>
      </c>
      <c r="C4" s="9">
        <v>-2.7199999999999998E-2</v>
      </c>
      <c r="D4" s="9">
        <v>0.125</v>
      </c>
      <c r="E4" s="10">
        <v>6.3745019920318698E-5</v>
      </c>
      <c r="F4" s="9">
        <v>7.8E-2</v>
      </c>
      <c r="G4" s="9">
        <v>-1.3299999999999999E-2</v>
      </c>
      <c r="H4" s="1"/>
      <c r="I4" s="2">
        <v>2</v>
      </c>
      <c r="J4" s="9">
        <v>0.40529999999999999</v>
      </c>
      <c r="K4" s="9">
        <v>0.30769999999999997</v>
      </c>
      <c r="L4" s="10">
        <v>6.9057104913678602E-5</v>
      </c>
      <c r="M4" s="9">
        <v>7.6300000000000007E-2</v>
      </c>
      <c r="N4" s="17">
        <v>-1.5800000000000002E-2</v>
      </c>
    </row>
    <row r="5" spans="2:14" ht="15" thickBot="1" x14ac:dyDescent="0.4">
      <c r="B5" s="2">
        <v>3</v>
      </c>
      <c r="C5" s="9">
        <v>-0.21510000000000001</v>
      </c>
      <c r="D5" s="9">
        <v>0.1212</v>
      </c>
      <c r="E5" s="10">
        <v>1.76E-4</v>
      </c>
      <c r="F5" s="9">
        <v>0.1041</v>
      </c>
      <c r="G5" s="9">
        <v>-1.7600000000000001E-2</v>
      </c>
      <c r="H5" s="1"/>
      <c r="I5" s="2">
        <v>3</v>
      </c>
      <c r="J5" s="9">
        <v>-0.35499999999999998</v>
      </c>
      <c r="K5" s="9">
        <v>0.27779999999999999</v>
      </c>
      <c r="L5" s="6">
        <v>9.6000000000000002E-5</v>
      </c>
      <c r="M5" s="9">
        <v>0.12089999999999999</v>
      </c>
      <c r="N5" s="17">
        <v>-4.8899999999999999E-2</v>
      </c>
    </row>
    <row r="6" spans="2:14" ht="15" thickBot="1" x14ac:dyDescent="0.4">
      <c r="B6" s="2">
        <v>4</v>
      </c>
      <c r="C6" s="9">
        <v>8.2400000000000001E-2</v>
      </c>
      <c r="D6" s="9">
        <v>0.125</v>
      </c>
      <c r="E6" s="10">
        <v>8.49933598937583E-5</v>
      </c>
      <c r="F6" s="9">
        <v>8.3400000000000002E-2</v>
      </c>
      <c r="G6" s="9">
        <v>-5.5999999999999999E-3</v>
      </c>
      <c r="H6" s="1"/>
      <c r="I6" s="2">
        <v>4</v>
      </c>
      <c r="J6" s="9">
        <v>0.3523</v>
      </c>
      <c r="K6" s="9">
        <v>0.16839999999999999</v>
      </c>
      <c r="L6" s="6">
        <v>2.5232403718459401E-4</v>
      </c>
      <c r="M6" s="9">
        <v>8.9300000000000004E-2</v>
      </c>
      <c r="N6" s="17">
        <v>-1.03E-2</v>
      </c>
    </row>
    <row r="7" spans="2:14" ht="15" thickBot="1" x14ac:dyDescent="0.4">
      <c r="B7" s="2">
        <v>5</v>
      </c>
      <c r="C7" s="9">
        <v>-2.0799999999999999E-2</v>
      </c>
      <c r="D7" s="9">
        <v>0</v>
      </c>
      <c r="E7" s="10">
        <v>2.64550264550264E-6</v>
      </c>
      <c r="F7" s="9">
        <v>0</v>
      </c>
      <c r="G7" s="9">
        <v>-2.0799999999999999E-2</v>
      </c>
      <c r="H7" s="1"/>
      <c r="I7" s="2">
        <v>5</v>
      </c>
      <c r="J7" s="12">
        <v>4.9200000000000001E-2</v>
      </c>
      <c r="K7" s="12">
        <v>0.25</v>
      </c>
      <c r="L7" s="13">
        <v>1.0582010582010501E-5</v>
      </c>
      <c r="M7" s="12">
        <v>5.7299999999999997E-2</v>
      </c>
      <c r="N7" s="12">
        <v>-2.5000000000000001E-3</v>
      </c>
    </row>
    <row r="8" spans="2:14" ht="15" thickBot="1" x14ac:dyDescent="0.4">
      <c r="B8" s="2">
        <v>6</v>
      </c>
      <c r="C8" s="12">
        <v>-1.9300000000000001E-2</v>
      </c>
      <c r="D8" s="12">
        <v>0</v>
      </c>
      <c r="E8" s="13">
        <v>5.3120849933598903E-6</v>
      </c>
      <c r="F8" s="12">
        <v>0</v>
      </c>
      <c r="G8" s="12">
        <v>-9.5999999999999992E-3</v>
      </c>
      <c r="H8" s="1"/>
      <c r="I8" s="2">
        <v>6</v>
      </c>
      <c r="J8" s="9">
        <v>-3.0599999999999999E-2</v>
      </c>
      <c r="K8" s="9">
        <v>0</v>
      </c>
      <c r="L8" s="6">
        <v>7.9681274900398406E-6</v>
      </c>
      <c r="M8" s="9">
        <v>0</v>
      </c>
      <c r="N8" s="17">
        <v>-1.03E-2</v>
      </c>
    </row>
    <row r="9" spans="2:14" ht="15" thickBot="1" x14ac:dyDescent="0.4">
      <c r="B9" s="2">
        <v>7</v>
      </c>
      <c r="C9" s="9">
        <v>0.22470000000000001</v>
      </c>
      <c r="D9" s="9">
        <v>6.0199999999999997E-2</v>
      </c>
      <c r="E9" s="10">
        <v>3.08897742363877E-3</v>
      </c>
      <c r="F9" s="9">
        <v>5.3100000000000001E-2</v>
      </c>
      <c r="G9" s="9">
        <v>-2.5000000000000001E-3</v>
      </c>
      <c r="H9" s="1"/>
      <c r="I9" s="2">
        <v>7</v>
      </c>
      <c r="J9" s="9">
        <v>-6.1699999999999998E-2</v>
      </c>
      <c r="K9" s="9">
        <v>6.4500000000000002E-2</v>
      </c>
      <c r="L9" s="6">
        <v>1.64674634794156E-4</v>
      </c>
      <c r="M9" s="9">
        <v>5.7299999999999997E-2</v>
      </c>
      <c r="N9" s="17">
        <v>-6.7000000000000002E-3</v>
      </c>
    </row>
    <row r="10" spans="2:14" ht="15" thickBot="1" x14ac:dyDescent="0.4">
      <c r="B10" s="2">
        <v>8</v>
      </c>
      <c r="C10" s="9">
        <v>0.1618</v>
      </c>
      <c r="D10" s="9">
        <v>0.10440000000000001</v>
      </c>
      <c r="E10" s="10">
        <v>4.3173333333333301E-3</v>
      </c>
      <c r="F10" s="9">
        <v>7.0800000000000002E-2</v>
      </c>
      <c r="G10" s="9">
        <v>-2.3999999999999998E-3</v>
      </c>
      <c r="H10" s="1"/>
      <c r="I10" s="2">
        <v>8</v>
      </c>
      <c r="J10" s="9">
        <v>0.20949999999999999</v>
      </c>
      <c r="K10" s="9">
        <v>0.2114</v>
      </c>
      <c r="L10" s="6">
        <v>1.58933333333333E-3</v>
      </c>
      <c r="M10" s="9">
        <v>7.0499999999999993E-2</v>
      </c>
      <c r="N10" s="17">
        <v>-1.1000000000000001E-3</v>
      </c>
    </row>
    <row r="11" spans="2:14" x14ac:dyDescent="0.35">
      <c r="B11" t="s">
        <v>21</v>
      </c>
      <c r="C11" s="7"/>
      <c r="D11" s="7"/>
      <c r="E11" s="7" t="s">
        <v>22</v>
      </c>
      <c r="F11" s="7"/>
      <c r="G11" s="7"/>
      <c r="I11" t="s">
        <v>18</v>
      </c>
      <c r="L11" t="s">
        <v>23</v>
      </c>
    </row>
    <row r="12" spans="2:14" x14ac:dyDescent="0.35">
      <c r="B12" t="s">
        <v>19</v>
      </c>
      <c r="C12" t="s">
        <v>20</v>
      </c>
      <c r="E12" t="s">
        <v>19</v>
      </c>
      <c r="F12" t="s">
        <v>20</v>
      </c>
      <c r="I12" t="s">
        <v>19</v>
      </c>
      <c r="J12" t="s">
        <v>20</v>
      </c>
      <c r="L12" t="s">
        <v>19</v>
      </c>
      <c r="M12" t="s">
        <v>20</v>
      </c>
    </row>
    <row r="13" spans="2:14" x14ac:dyDescent="0.35">
      <c r="B13" s="3" cm="1">
        <f t="array" ref="B13:B20">J3:J10</f>
        <v>1.4767999999999999</v>
      </c>
      <c r="C13" s="3" cm="1">
        <f t="array" ref="C13:C20">C3:C10</f>
        <v>1.1148</v>
      </c>
      <c r="E13" s="3" cm="1">
        <f t="array" ref="E13:E20">K3:K10</f>
        <v>0.28570000000000001</v>
      </c>
      <c r="F13" s="3" cm="1">
        <f t="array" ref="F13:F20">D3:D10</f>
        <v>9.0899999999999995E-2</v>
      </c>
      <c r="G13" s="3"/>
      <c r="I13" s="3" cm="1">
        <f t="array" ref="I13:I20">L3:L10</f>
        <v>1.2962962962962901E-4</v>
      </c>
      <c r="J13" s="3" cm="1">
        <f t="array" ref="J13:J20">E3:E10</f>
        <v>2.32804232804232E-4</v>
      </c>
      <c r="L13" s="3" cm="1">
        <f t="array" ref="L13:L20">M3:M10</f>
        <v>0.10440000000000001</v>
      </c>
      <c r="M13" s="3" cm="1">
        <f t="array" ref="M13:M20">F3:F10</f>
        <v>0.14280000000000001</v>
      </c>
      <c r="N13" s="3"/>
    </row>
    <row r="14" spans="2:14" x14ac:dyDescent="0.35">
      <c r="B14">
        <v>0.40529999999999999</v>
      </c>
      <c r="C14">
        <v>-2.7199999999999998E-2</v>
      </c>
      <c r="E14">
        <v>0.30769999999999997</v>
      </c>
      <c r="F14">
        <v>0.125</v>
      </c>
      <c r="I14">
        <v>6.9057104913678602E-5</v>
      </c>
      <c r="J14">
        <v>6.3745019920318698E-5</v>
      </c>
      <c r="L14">
        <v>7.6300000000000007E-2</v>
      </c>
      <c r="M14">
        <v>7.8E-2</v>
      </c>
    </row>
    <row r="15" spans="2:14" x14ac:dyDescent="0.35">
      <c r="B15">
        <v>-0.35499999999999998</v>
      </c>
      <c r="C15">
        <v>-0.21510000000000001</v>
      </c>
      <c r="E15">
        <v>0.27779999999999999</v>
      </c>
      <c r="F15">
        <v>0.1212</v>
      </c>
      <c r="I15">
        <v>9.6000000000000002E-5</v>
      </c>
      <c r="J15">
        <v>1.76E-4</v>
      </c>
      <c r="L15">
        <v>0.12089999999999999</v>
      </c>
      <c r="M15">
        <v>0.1041</v>
      </c>
    </row>
    <row r="16" spans="2:14" x14ac:dyDescent="0.35">
      <c r="B16">
        <v>0.3523</v>
      </c>
      <c r="C16">
        <v>8.2400000000000001E-2</v>
      </c>
      <c r="E16">
        <v>0.16839999999999999</v>
      </c>
      <c r="F16">
        <v>0.125</v>
      </c>
      <c r="I16">
        <v>2.5232403718459401E-4</v>
      </c>
      <c r="J16">
        <v>8.49933598937583E-5</v>
      </c>
      <c r="L16">
        <v>8.9300000000000004E-2</v>
      </c>
      <c r="M16">
        <v>8.3400000000000002E-2</v>
      </c>
    </row>
    <row r="17" spans="2:20" x14ac:dyDescent="0.35">
      <c r="B17">
        <v>4.9200000000000001E-2</v>
      </c>
      <c r="C17">
        <v>-2.0799999999999999E-2</v>
      </c>
      <c r="E17">
        <v>0.25</v>
      </c>
      <c r="F17">
        <v>0</v>
      </c>
      <c r="I17">
        <v>1.0582010582010501E-5</v>
      </c>
      <c r="J17">
        <v>2.64550264550264E-6</v>
      </c>
      <c r="L17">
        <v>5.7299999999999997E-2</v>
      </c>
      <c r="M17">
        <v>0</v>
      </c>
    </row>
    <row r="18" spans="2:20" x14ac:dyDescent="0.35">
      <c r="B18">
        <v>-3.0599999999999999E-2</v>
      </c>
      <c r="C18">
        <v>-1.9300000000000001E-2</v>
      </c>
      <c r="E18">
        <v>0</v>
      </c>
      <c r="F18">
        <v>0</v>
      </c>
      <c r="I18">
        <v>7.9681274900398406E-6</v>
      </c>
      <c r="J18">
        <v>5.3120849933598903E-6</v>
      </c>
      <c r="L18">
        <v>0</v>
      </c>
      <c r="M18">
        <v>0</v>
      </c>
    </row>
    <row r="19" spans="2:20" x14ac:dyDescent="0.35">
      <c r="B19">
        <v>-6.1699999999999998E-2</v>
      </c>
      <c r="C19">
        <v>0.22470000000000001</v>
      </c>
      <c r="E19">
        <v>6.4500000000000002E-2</v>
      </c>
      <c r="F19">
        <v>6.0199999999999997E-2</v>
      </c>
      <c r="I19">
        <v>1.64674634794156E-4</v>
      </c>
      <c r="J19">
        <v>3.08897742363877E-3</v>
      </c>
      <c r="L19">
        <v>5.7299999999999997E-2</v>
      </c>
      <c r="M19">
        <v>5.3100000000000001E-2</v>
      </c>
    </row>
    <row r="20" spans="2:20" x14ac:dyDescent="0.35">
      <c r="B20">
        <v>0.20949999999999999</v>
      </c>
      <c r="C20">
        <v>0.1618</v>
      </c>
      <c r="E20">
        <v>0.2114</v>
      </c>
      <c r="F20">
        <v>0.10440000000000001</v>
      </c>
      <c r="I20">
        <v>1.58933333333333E-3</v>
      </c>
      <c r="J20">
        <v>4.3173333333333301E-3</v>
      </c>
      <c r="L20">
        <v>7.0499999999999993E-2</v>
      </c>
      <c r="M20">
        <v>7.0800000000000002E-2</v>
      </c>
    </row>
    <row r="22" spans="2:20" x14ac:dyDescent="0.35">
      <c r="B22" t="s">
        <v>24</v>
      </c>
    </row>
    <row r="23" spans="2:20" x14ac:dyDescent="0.35">
      <c r="B23" t="s">
        <v>19</v>
      </c>
      <c r="C23" t="s">
        <v>20</v>
      </c>
      <c r="I23" t="s">
        <v>8</v>
      </c>
      <c r="T23" s="14"/>
    </row>
    <row r="24" spans="2:20" x14ac:dyDescent="0.35">
      <c r="B24" s="3" cm="1">
        <f t="array" ref="B24:B31">N3:N10</f>
        <v>-1.11E-2</v>
      </c>
      <c r="C24" s="3" cm="1">
        <f t="array" ref="C24:C31">G3:G10</f>
        <v>-7.0000000000000001E-3</v>
      </c>
      <c r="H24" t="s">
        <v>9</v>
      </c>
      <c r="I24" s="19">
        <f>AVERAGE(J3:J10)</f>
        <v>0.25572499999999998</v>
      </c>
    </row>
    <row r="25" spans="2:20" x14ac:dyDescent="0.35">
      <c r="B25">
        <v>-1.5800000000000002E-2</v>
      </c>
      <c r="C25">
        <v>-1.3299999999999999E-2</v>
      </c>
      <c r="H25" t="s">
        <v>11</v>
      </c>
      <c r="I25" s="11">
        <f>_xlfn.STDEV.S(J3:J10)</f>
        <v>0.5507447626364036</v>
      </c>
    </row>
    <row r="26" spans="2:20" x14ac:dyDescent="0.35">
      <c r="B26">
        <v>-4.8899999999999999E-2</v>
      </c>
      <c r="C26">
        <v>-1.7600000000000001E-2</v>
      </c>
      <c r="H26" t="s">
        <v>10</v>
      </c>
      <c r="I26" s="11">
        <f>I25 / SQRT(COUNT(J3:J10))</f>
        <v>0.19471767818158822</v>
      </c>
    </row>
    <row r="27" spans="2:20" x14ac:dyDescent="0.35">
      <c r="B27">
        <v>-1.03E-2</v>
      </c>
      <c r="C27">
        <v>-5.5999999999999999E-3</v>
      </c>
      <c r="H27" t="s">
        <v>12</v>
      </c>
      <c r="I27" s="18">
        <f>_xlfn.T.INV.2T(0.05, COUNT(J3:J10) - 1)</f>
        <v>2.3646242515927849</v>
      </c>
    </row>
    <row r="28" spans="2:20" x14ac:dyDescent="0.35">
      <c r="B28">
        <v>-2.5000000000000001E-3</v>
      </c>
      <c r="C28">
        <v>-2.0799999999999999E-2</v>
      </c>
      <c r="H28" t="s">
        <v>13</v>
      </c>
      <c r="I28" s="19">
        <f>I24-I26*I27</f>
        <v>-0.20470914404202278</v>
      </c>
    </row>
    <row r="29" spans="2:20" x14ac:dyDescent="0.35">
      <c r="B29">
        <v>-1.03E-2</v>
      </c>
      <c r="C29">
        <v>-9.5999999999999992E-3</v>
      </c>
      <c r="H29" t="s">
        <v>14</v>
      </c>
      <c r="I29" s="19">
        <f>I24+I26*I27</f>
        <v>0.71615914404202274</v>
      </c>
    </row>
    <row r="30" spans="2:20" x14ac:dyDescent="0.35">
      <c r="B30">
        <v>-6.7000000000000002E-3</v>
      </c>
      <c r="C30">
        <v>-2.5000000000000001E-3</v>
      </c>
    </row>
    <row r="31" spans="2:20" x14ac:dyDescent="0.35">
      <c r="B31">
        <v>-1.1000000000000001E-3</v>
      </c>
      <c r="C31">
        <v>-2.3999999999999998E-3</v>
      </c>
      <c r="I31" t="s">
        <v>15</v>
      </c>
    </row>
    <row r="32" spans="2:20" x14ac:dyDescent="0.35">
      <c r="H32" t="s">
        <v>9</v>
      </c>
      <c r="I32" s="19">
        <f>AVERAGE(C3:C10)</f>
        <v>0.16266249999999999</v>
      </c>
    </row>
    <row r="33" spans="8:9" x14ac:dyDescent="0.35">
      <c r="H33" t="s">
        <v>11</v>
      </c>
      <c r="I33" s="11">
        <f>_xlfn.STDEV.S(C3:C10)</f>
        <v>0.40749730914974852</v>
      </c>
    </row>
    <row r="34" spans="8:9" x14ac:dyDescent="0.35">
      <c r="H34" t="s">
        <v>10</v>
      </c>
      <c r="I34" s="11">
        <f>I33 / SQRT(COUNT(C3:C10))</f>
        <v>0.14407205530752906</v>
      </c>
    </row>
    <row r="35" spans="8:9" x14ac:dyDescent="0.35">
      <c r="H35" t="s">
        <v>12</v>
      </c>
      <c r="I35" s="18">
        <f>_xlfn.T.INV.2T(0.05, COUNT(C3:C10) - 1)</f>
        <v>2.3646242515927849</v>
      </c>
    </row>
    <row r="36" spans="8:9" x14ac:dyDescent="0.35">
      <c r="H36" t="s">
        <v>13</v>
      </c>
      <c r="I36" s="19">
        <f>I32-I34*I35</f>
        <v>-0.17801377595700024</v>
      </c>
    </row>
    <row r="37" spans="8:9" x14ac:dyDescent="0.35">
      <c r="H37" t="s">
        <v>14</v>
      </c>
      <c r="I37" s="19">
        <f>I32+I34*I35</f>
        <v>0.50333877595700027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BF03-BAD8-4E2B-8CFF-8BC95A7E4475}">
  <dimension ref="B1:T37"/>
  <sheetViews>
    <sheetView topLeftCell="R1" zoomScale="74" zoomScaleNormal="100" workbookViewId="0">
      <selection activeCell="B21" sqref="B21:C22"/>
    </sheetView>
  </sheetViews>
  <sheetFormatPr defaultRowHeight="14.5" x14ac:dyDescent="0.35"/>
  <cols>
    <col min="2" max="2" width="8.81640625" bestFit="1" customWidth="1"/>
    <col min="3" max="3" width="8.26953125" customWidth="1"/>
    <col min="4" max="4" width="9.08984375" bestFit="1" customWidth="1"/>
    <col min="5" max="5" width="8.90625" bestFit="1" customWidth="1"/>
    <col min="6" max="6" width="9.08984375" bestFit="1" customWidth="1"/>
    <col min="7" max="7" width="9.08984375" customWidth="1"/>
    <col min="9" max="10" width="14.6328125" bestFit="1" customWidth="1"/>
    <col min="11" max="11" width="10.81640625" bestFit="1" customWidth="1"/>
    <col min="12" max="12" width="9.81640625" bestFit="1" customWidth="1"/>
    <col min="13" max="13" width="9.7265625" bestFit="1" customWidth="1"/>
    <col min="14" max="14" width="9.7265625" customWidth="1"/>
  </cols>
  <sheetData>
    <row r="1" spans="2:14" ht="15" thickBot="1" x14ac:dyDescent="0.4"/>
    <row r="2" spans="2:14" ht="26.5" thickBot="1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7</v>
      </c>
      <c r="H2" s="1"/>
      <c r="I2" s="1" t="s">
        <v>5</v>
      </c>
      <c r="J2" s="1" t="s">
        <v>1</v>
      </c>
      <c r="K2" s="1" t="s">
        <v>2</v>
      </c>
      <c r="L2" s="1" t="s">
        <v>3</v>
      </c>
      <c r="M2" s="1" t="s">
        <v>4</v>
      </c>
      <c r="N2" s="15" t="s">
        <v>6</v>
      </c>
    </row>
    <row r="3" spans="2:14" ht="15" thickBot="1" x14ac:dyDescent="0.4">
      <c r="B3" s="2">
        <v>1</v>
      </c>
      <c r="C3" s="8">
        <v>0.53920000000000001</v>
      </c>
      <c r="D3" s="4">
        <v>0.15</v>
      </c>
      <c r="E3" s="5">
        <v>2.11640211640211E-4</v>
      </c>
      <c r="F3" s="4">
        <v>0.1123</v>
      </c>
      <c r="G3" s="4">
        <v>-1.5599999999999999E-2</v>
      </c>
      <c r="H3" s="1"/>
      <c r="I3" s="2">
        <v>1</v>
      </c>
      <c r="J3" s="8">
        <v>1.2161999999999999</v>
      </c>
      <c r="K3" s="8">
        <v>0.24049999999999999</v>
      </c>
      <c r="L3" s="5">
        <v>2.08994708994709E-4</v>
      </c>
      <c r="M3" s="8">
        <v>0.1177</v>
      </c>
      <c r="N3" s="16">
        <v>-1.7999999999999999E-2</v>
      </c>
    </row>
    <row r="4" spans="2:14" ht="15" thickBot="1" x14ac:dyDescent="0.4">
      <c r="B4" s="2">
        <v>2</v>
      </c>
      <c r="C4" s="9">
        <v>0.45879999999999999</v>
      </c>
      <c r="D4" s="9">
        <v>0.12609999999999999</v>
      </c>
      <c r="E4" s="10">
        <v>2.9365079365079299E-4</v>
      </c>
      <c r="F4" s="9">
        <v>0.1031</v>
      </c>
      <c r="G4" s="9">
        <v>-1.2800000000000001E-2</v>
      </c>
      <c r="H4" s="1"/>
      <c r="I4" s="2">
        <v>2</v>
      </c>
      <c r="J4" s="9">
        <v>2.2111999999999998</v>
      </c>
      <c r="K4" s="9">
        <v>0.2</v>
      </c>
      <c r="L4" s="10">
        <v>1.58730158730158E-4</v>
      </c>
      <c r="M4" s="9">
        <v>0.2064</v>
      </c>
      <c r="N4" s="17">
        <v>-1.14E-2</v>
      </c>
    </row>
    <row r="5" spans="2:14" ht="15" thickBot="1" x14ac:dyDescent="0.4">
      <c r="B5" s="2">
        <v>3</v>
      </c>
      <c r="C5" s="9">
        <v>0.66359999999999997</v>
      </c>
      <c r="D5" s="9">
        <v>8.3299999999999999E-2</v>
      </c>
      <c r="E5" s="10">
        <v>2.5396825396825298E-4</v>
      </c>
      <c r="F5" s="9">
        <v>0.1363</v>
      </c>
      <c r="G5" s="9">
        <v>-9.1999999999999998E-3</v>
      </c>
      <c r="H5" s="1"/>
      <c r="I5" s="2">
        <v>3</v>
      </c>
      <c r="J5" s="9">
        <v>0.42949999999999999</v>
      </c>
      <c r="K5" s="9">
        <v>0.18060000000000001</v>
      </c>
      <c r="L5" s="6">
        <v>1.9047619047618999E-4</v>
      </c>
      <c r="M5" s="9">
        <v>0.1072</v>
      </c>
      <c r="N5" s="17">
        <v>-1.3100000000000001E-2</v>
      </c>
    </row>
    <row r="6" spans="2:14" ht="15" thickBot="1" x14ac:dyDescent="0.4">
      <c r="B6" s="2">
        <v>4</v>
      </c>
      <c r="C6" s="9">
        <v>-3.7699999999999997E-2</v>
      </c>
      <c r="D6" s="9">
        <v>5.8799999999999998E-2</v>
      </c>
      <c r="E6" s="10">
        <v>4.49735449735449E-5</v>
      </c>
      <c r="F6" s="9">
        <v>8.7400000000000005E-2</v>
      </c>
      <c r="G6" s="9">
        <v>-7.4999999999999997E-3</v>
      </c>
      <c r="H6" s="1"/>
      <c r="I6" s="2">
        <v>4</v>
      </c>
      <c r="J6" s="9">
        <v>1.2609999999999999</v>
      </c>
      <c r="K6" s="9">
        <v>0.20630000000000001</v>
      </c>
      <c r="L6" s="6">
        <v>1.6666666666666601E-4</v>
      </c>
      <c r="M6" s="9">
        <v>0.16070000000000001</v>
      </c>
      <c r="N6" s="17">
        <v>-1.83E-2</v>
      </c>
    </row>
    <row r="7" spans="2:14" ht="15" thickBot="1" x14ac:dyDescent="0.4">
      <c r="B7" s="2">
        <v>5</v>
      </c>
      <c r="C7" s="9">
        <v>5.11E-2</v>
      </c>
      <c r="D7" s="9">
        <v>7.1400000000000005E-2</v>
      </c>
      <c r="E7" s="10">
        <v>2.2222222222222199E-4</v>
      </c>
      <c r="F7" s="9">
        <v>6.0499999999999998E-2</v>
      </c>
      <c r="G7" s="9">
        <v>-2.3E-3</v>
      </c>
      <c r="H7" s="1"/>
      <c r="I7" s="2">
        <v>5</v>
      </c>
      <c r="J7" s="12">
        <v>0.2172</v>
      </c>
      <c r="K7" s="12">
        <v>0.2059</v>
      </c>
      <c r="L7" s="13">
        <v>8.9947089947089895E-5</v>
      </c>
      <c r="M7" s="12">
        <v>8.9599999999999999E-2</v>
      </c>
      <c r="N7" s="12">
        <v>-1.47E-2</v>
      </c>
    </row>
    <row r="8" spans="2:14" ht="15" thickBot="1" x14ac:dyDescent="0.4">
      <c r="B8" s="2">
        <v>6</v>
      </c>
      <c r="C8" s="12">
        <v>1.27</v>
      </c>
      <c r="D8" s="12">
        <v>0.13250000000000001</v>
      </c>
      <c r="E8" s="13">
        <v>2.1957671957671901E-4</v>
      </c>
      <c r="F8" s="12">
        <v>0.1203</v>
      </c>
      <c r="G8" s="12">
        <v>-4.4999999999999997E-3</v>
      </c>
      <c r="H8" s="1"/>
      <c r="I8" s="2">
        <v>6</v>
      </c>
      <c r="J8" s="9">
        <v>1.9112</v>
      </c>
      <c r="K8" s="9">
        <v>0.2041</v>
      </c>
      <c r="L8" s="6">
        <v>1.2962962962962901E-4</v>
      </c>
      <c r="M8" s="9">
        <v>0.20899999999999999</v>
      </c>
      <c r="N8" s="17">
        <v>-1.7399999999999999E-2</v>
      </c>
    </row>
    <row r="9" spans="2:14" ht="15" thickBot="1" x14ac:dyDescent="0.4">
      <c r="B9" s="2">
        <v>7</v>
      </c>
      <c r="C9" s="9">
        <v>0.64249999999999996</v>
      </c>
      <c r="D9" s="9">
        <v>0.1067</v>
      </c>
      <c r="E9" s="10">
        <v>1.9841269841269801E-4</v>
      </c>
      <c r="F9" s="9">
        <v>8.9800000000000005E-2</v>
      </c>
      <c r="G9" s="9">
        <v>-1.2999999999999999E-3</v>
      </c>
      <c r="H9" s="1"/>
      <c r="I9" s="2">
        <v>7</v>
      </c>
      <c r="J9" s="9">
        <v>-8.8700000000000001E-2</v>
      </c>
      <c r="K9" s="9">
        <v>0.15620000000000001</v>
      </c>
      <c r="L9" s="6">
        <v>1.6931216931216899E-4</v>
      </c>
      <c r="M9" s="9">
        <v>0.12239999999999999</v>
      </c>
      <c r="N9" s="17">
        <v>-2.0299999999999999E-2</v>
      </c>
    </row>
    <row r="10" spans="2:14" ht="15" thickBot="1" x14ac:dyDescent="0.4">
      <c r="B10" s="2">
        <v>8</v>
      </c>
      <c r="C10" s="9">
        <v>0.2286</v>
      </c>
      <c r="D10" s="9">
        <v>7.5300000000000006E-2</v>
      </c>
      <c r="E10" s="10">
        <v>2.46031746031746E-4</v>
      </c>
      <c r="F10" s="9">
        <v>8.9399999999999993E-2</v>
      </c>
      <c r="G10" s="9">
        <v>-3.3E-3</v>
      </c>
      <c r="H10" s="1"/>
      <c r="I10" s="2">
        <v>8</v>
      </c>
      <c r="J10" s="9">
        <v>0.10730000000000001</v>
      </c>
      <c r="K10" s="9">
        <v>0.1429</v>
      </c>
      <c r="L10" s="6">
        <v>1.2962962962962901E-4</v>
      </c>
      <c r="M10" s="9">
        <v>0.115</v>
      </c>
      <c r="N10" s="17">
        <v>-1.61E-2</v>
      </c>
    </row>
    <row r="11" spans="2:14" x14ac:dyDescent="0.35">
      <c r="B11" t="s">
        <v>21</v>
      </c>
      <c r="C11" s="7"/>
      <c r="D11" s="7"/>
      <c r="E11" s="7" t="s">
        <v>22</v>
      </c>
      <c r="F11" s="7"/>
      <c r="G11" s="7"/>
      <c r="I11" t="s">
        <v>18</v>
      </c>
      <c r="L11" t="s">
        <v>23</v>
      </c>
    </row>
    <row r="12" spans="2:14" x14ac:dyDescent="0.35">
      <c r="B12" t="s">
        <v>19</v>
      </c>
      <c r="C12" t="s">
        <v>20</v>
      </c>
      <c r="E12" t="s">
        <v>19</v>
      </c>
      <c r="F12" t="s">
        <v>20</v>
      </c>
      <c r="I12" t="s">
        <v>19</v>
      </c>
      <c r="J12" t="s">
        <v>20</v>
      </c>
      <c r="L12" t="s">
        <v>19</v>
      </c>
      <c r="M12" t="s">
        <v>20</v>
      </c>
    </row>
    <row r="13" spans="2:14" x14ac:dyDescent="0.35">
      <c r="B13" s="3" cm="1">
        <f t="array" ref="B13:B20">J3:J10</f>
        <v>1.2161999999999999</v>
      </c>
      <c r="C13" s="3" cm="1">
        <f t="array" ref="C13:C20">C3:C10</f>
        <v>0.53920000000000001</v>
      </c>
      <c r="E13" s="3" cm="1">
        <f t="array" ref="E13:E20">K3:K10</f>
        <v>0.24049999999999999</v>
      </c>
      <c r="F13" s="3" cm="1">
        <f t="array" ref="F13:F20">D3:D10</f>
        <v>0.15</v>
      </c>
      <c r="G13" s="3"/>
      <c r="I13" s="3" cm="1">
        <f t="array" ref="I13:I20">L3:L10</f>
        <v>2.08994708994709E-4</v>
      </c>
      <c r="J13" s="3" cm="1">
        <f t="array" ref="J13:J20">E3:E10</f>
        <v>2.11640211640211E-4</v>
      </c>
      <c r="L13" s="3" cm="1">
        <f t="array" ref="L13:L20">M3:M10</f>
        <v>0.1177</v>
      </c>
      <c r="M13" s="3" cm="1">
        <f t="array" ref="M13:M20">F3:F10</f>
        <v>0.1123</v>
      </c>
      <c r="N13" s="3"/>
    </row>
    <row r="14" spans="2:14" x14ac:dyDescent="0.35">
      <c r="B14">
        <v>2.2111999999999998</v>
      </c>
      <c r="C14">
        <v>0.45879999999999999</v>
      </c>
      <c r="E14">
        <v>0.2</v>
      </c>
      <c r="F14">
        <v>0.12609999999999999</v>
      </c>
      <c r="I14">
        <v>1.58730158730158E-4</v>
      </c>
      <c r="J14">
        <v>2.9365079365079299E-4</v>
      </c>
      <c r="L14">
        <v>0.2064</v>
      </c>
      <c r="M14">
        <v>0.1031</v>
      </c>
    </row>
    <row r="15" spans="2:14" x14ac:dyDescent="0.35">
      <c r="B15">
        <v>0.42949999999999999</v>
      </c>
      <c r="C15">
        <v>0.66359999999999997</v>
      </c>
      <c r="E15">
        <v>0.18060000000000001</v>
      </c>
      <c r="F15">
        <v>8.3299999999999999E-2</v>
      </c>
      <c r="I15">
        <v>1.9047619047618999E-4</v>
      </c>
      <c r="J15">
        <v>2.5396825396825298E-4</v>
      </c>
      <c r="L15">
        <v>0.1072</v>
      </c>
      <c r="M15">
        <v>0.1363</v>
      </c>
    </row>
    <row r="16" spans="2:14" x14ac:dyDescent="0.35">
      <c r="B16">
        <v>1.2609999999999999</v>
      </c>
      <c r="C16">
        <v>-3.7699999999999997E-2</v>
      </c>
      <c r="E16">
        <v>0.20630000000000001</v>
      </c>
      <c r="F16">
        <v>5.8799999999999998E-2</v>
      </c>
      <c r="I16">
        <v>1.6666666666666601E-4</v>
      </c>
      <c r="J16">
        <v>4.49735449735449E-5</v>
      </c>
      <c r="L16">
        <v>0.16070000000000001</v>
      </c>
      <c r="M16">
        <v>8.7400000000000005E-2</v>
      </c>
    </row>
    <row r="17" spans="2:20" x14ac:dyDescent="0.35">
      <c r="B17">
        <v>0.2172</v>
      </c>
      <c r="C17">
        <v>5.11E-2</v>
      </c>
      <c r="E17">
        <v>0.2059</v>
      </c>
      <c r="F17">
        <v>7.1400000000000005E-2</v>
      </c>
      <c r="I17">
        <v>8.9947089947089895E-5</v>
      </c>
      <c r="J17">
        <v>2.2222222222222199E-4</v>
      </c>
      <c r="L17">
        <v>8.9599999999999999E-2</v>
      </c>
      <c r="M17">
        <v>6.0499999999999998E-2</v>
      </c>
    </row>
    <row r="18" spans="2:20" x14ac:dyDescent="0.35">
      <c r="B18">
        <v>1.9112</v>
      </c>
      <c r="C18">
        <v>1.27</v>
      </c>
      <c r="E18">
        <v>0.2041</v>
      </c>
      <c r="F18">
        <v>0.13250000000000001</v>
      </c>
      <c r="I18">
        <v>1.2962962962962901E-4</v>
      </c>
      <c r="J18">
        <v>2.1957671957671901E-4</v>
      </c>
      <c r="L18">
        <v>0.20899999999999999</v>
      </c>
      <c r="M18">
        <v>0.1203</v>
      </c>
    </row>
    <row r="19" spans="2:20" x14ac:dyDescent="0.35">
      <c r="B19">
        <v>-8.8700000000000001E-2</v>
      </c>
      <c r="C19">
        <v>0.64249999999999996</v>
      </c>
      <c r="E19">
        <v>0.15620000000000001</v>
      </c>
      <c r="F19">
        <v>0.1067</v>
      </c>
      <c r="I19">
        <v>1.6931216931216899E-4</v>
      </c>
      <c r="J19">
        <v>1.9841269841269801E-4</v>
      </c>
      <c r="L19">
        <v>0.12239999999999999</v>
      </c>
      <c r="M19">
        <v>8.9800000000000005E-2</v>
      </c>
    </row>
    <row r="20" spans="2:20" x14ac:dyDescent="0.35">
      <c r="B20">
        <v>0.10730000000000001</v>
      </c>
      <c r="C20">
        <v>0.2286</v>
      </c>
      <c r="E20">
        <v>0.1429</v>
      </c>
      <c r="F20">
        <v>7.5300000000000006E-2</v>
      </c>
      <c r="I20">
        <v>1.2962962962962901E-4</v>
      </c>
      <c r="J20">
        <v>2.46031746031746E-4</v>
      </c>
      <c r="L20">
        <v>0.115</v>
      </c>
      <c r="M20">
        <v>8.9399999999999993E-2</v>
      </c>
    </row>
    <row r="21" spans="2:20" x14ac:dyDescent="0.35">
      <c r="B21" t="s">
        <v>24</v>
      </c>
    </row>
    <row r="22" spans="2:20" x14ac:dyDescent="0.35">
      <c r="B22" t="s">
        <v>19</v>
      </c>
      <c r="C22" t="s">
        <v>20</v>
      </c>
    </row>
    <row r="23" spans="2:20" x14ac:dyDescent="0.35">
      <c r="B23" s="3" cm="1">
        <f t="array" ref="B23:B30">N3:N10</f>
        <v>-1.7999999999999999E-2</v>
      </c>
      <c r="C23" s="3" cm="1">
        <f t="array" ref="C23:C30">G3:G10</f>
        <v>-1.5599999999999999E-2</v>
      </c>
      <c r="I23" t="s">
        <v>8</v>
      </c>
      <c r="J23" t="str">
        <f>"["&amp;ROUND(I28, 3)*100&amp;"%, "&amp;ROUND(I29, 3)*100&amp;"%]"</f>
        <v>[18.3%, 163.3%]</v>
      </c>
      <c r="T23" s="14"/>
    </row>
    <row r="24" spans="2:20" x14ac:dyDescent="0.35">
      <c r="B24">
        <v>-1.14E-2</v>
      </c>
      <c r="C24">
        <v>-1.2800000000000001E-2</v>
      </c>
      <c r="H24" t="s">
        <v>9</v>
      </c>
      <c r="I24" s="19">
        <f>AVERAGE(J3:J10)</f>
        <v>0.90811249999999999</v>
      </c>
    </row>
    <row r="25" spans="2:20" x14ac:dyDescent="0.35">
      <c r="B25">
        <v>-1.3100000000000001E-2</v>
      </c>
      <c r="C25">
        <v>-9.1999999999999998E-3</v>
      </c>
      <c r="H25" t="s">
        <v>11</v>
      </c>
      <c r="I25" s="11">
        <f>_xlfn.STDEV.S(J3:J10)</f>
        <v>0.86726457396229417</v>
      </c>
    </row>
    <row r="26" spans="2:20" x14ac:dyDescent="0.35">
      <c r="B26">
        <v>-1.83E-2</v>
      </c>
      <c r="C26">
        <v>-7.4999999999999997E-3</v>
      </c>
      <c r="H26" t="s">
        <v>10</v>
      </c>
      <c r="I26" s="11">
        <f>I25 / SQRT(COUNT(J3:J10))</f>
        <v>0.30662433066580014</v>
      </c>
    </row>
    <row r="27" spans="2:20" x14ac:dyDescent="0.35">
      <c r="B27">
        <v>-1.47E-2</v>
      </c>
      <c r="C27">
        <v>-2.3E-3</v>
      </c>
      <c r="H27" t="s">
        <v>12</v>
      </c>
      <c r="I27" s="18">
        <f>_xlfn.T.INV.2T(0.05, COUNT(J3:J10) - 1)</f>
        <v>2.3646242515927849</v>
      </c>
    </row>
    <row r="28" spans="2:20" x14ac:dyDescent="0.35">
      <c r="B28">
        <v>-1.7399999999999999E-2</v>
      </c>
      <c r="C28">
        <v>-4.4999999999999997E-3</v>
      </c>
      <c r="H28" t="s">
        <v>13</v>
      </c>
      <c r="I28" s="19">
        <f>I24-I26*I27</f>
        <v>0.18306117157924373</v>
      </c>
    </row>
    <row r="29" spans="2:20" x14ac:dyDescent="0.35">
      <c r="B29">
        <v>-2.0299999999999999E-2</v>
      </c>
      <c r="C29">
        <v>-1.2999999999999999E-3</v>
      </c>
      <c r="H29" t="s">
        <v>14</v>
      </c>
      <c r="I29" s="19">
        <f>I24+I26*I27</f>
        <v>1.6331638284207561</v>
      </c>
    </row>
    <row r="30" spans="2:20" x14ac:dyDescent="0.35">
      <c r="B30">
        <v>-1.61E-2</v>
      </c>
      <c r="C30">
        <v>-3.3E-3</v>
      </c>
    </row>
    <row r="31" spans="2:20" x14ac:dyDescent="0.35">
      <c r="I31" t="s">
        <v>15</v>
      </c>
      <c r="J31" t="str">
        <f>"["&amp;ROUND(I36, 3)*100&amp;"%, "&amp;ROUND(I37, 3)*100&amp;"%]"</f>
        <v>[13%, 82.4%]</v>
      </c>
    </row>
    <row r="32" spans="2:20" x14ac:dyDescent="0.35">
      <c r="H32" t="s">
        <v>9</v>
      </c>
      <c r="I32" s="19">
        <f>AVERAGE(C3:C10)</f>
        <v>0.47701250000000001</v>
      </c>
    </row>
    <row r="33" spans="2:9" x14ac:dyDescent="0.35">
      <c r="B33" t="s">
        <v>16</v>
      </c>
      <c r="H33" t="s">
        <v>11</v>
      </c>
      <c r="I33" s="11">
        <f>_xlfn.STDEV.S(C3:C10)</f>
        <v>0.41460279592985994</v>
      </c>
    </row>
    <row r="34" spans="2:9" x14ac:dyDescent="0.35">
      <c r="B34" t="s">
        <v>17</v>
      </c>
      <c r="H34" t="s">
        <v>10</v>
      </c>
      <c r="I34" s="11">
        <f>I33 / SQRT(COUNT(C3:C10))</f>
        <v>0.14658422425045314</v>
      </c>
    </row>
    <row r="35" spans="2:9" x14ac:dyDescent="0.35">
      <c r="H35" t="s">
        <v>12</v>
      </c>
      <c r="I35" s="18">
        <f>_xlfn.T.INV.2T(0.05, COUNT(C3:C10) - 1)</f>
        <v>2.3646242515927849</v>
      </c>
    </row>
    <row r="36" spans="2:9" x14ac:dyDescent="0.35">
      <c r="H36" t="s">
        <v>13</v>
      </c>
      <c r="I36" s="19">
        <f>I32-I34*I35</f>
        <v>0.13039588843646327</v>
      </c>
    </row>
    <row r="37" spans="2:9" x14ac:dyDescent="0.35">
      <c r="H37" t="s">
        <v>14</v>
      </c>
      <c r="I37" s="19">
        <f>I32+I34*I35</f>
        <v>0.8236291115635368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TimeSweep</vt:lpstr>
      <vt:lpstr>SeedSweep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Doane, Franklin (fgdoane42)</dc:creator>
  <cp:lastModifiedBy>Doane, Franklin (fgdoane42)</cp:lastModifiedBy>
  <dcterms:created xsi:type="dcterms:W3CDTF">2026-01-29T01:16:48Z</dcterms:created>
  <dcterms:modified xsi:type="dcterms:W3CDTF">2026-01-29T23:50:42Z</dcterms:modified>
</cp:coreProperties>
</file>